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10\"/>
    </mc:Choice>
  </mc:AlternateContent>
  <xr:revisionPtr revIDLastSave="0" documentId="13_ncr:1_{5C0711BC-1214-465E-80EC-DD41A2813DCE}" xr6:coauthVersionLast="47" xr6:coauthVersionMax="47" xr10:uidLastSave="{00000000-0000-0000-0000-000000000000}"/>
  <workbookProtection workbookAlgorithmName="SHA-512" workbookHashValue="+w3bNyURAXEpHkqtQQCeaE7g5Hi936MA1SMFRPta5gsn1jzuArIB+NlxCrTD9zXt07Nme5+6j3lS5tklVTzQSw==" workbookSaltValue="TB0R5CiTskFEkSGUcZZMWA==" workbookSpinCount="100000" lockStructure="1"/>
  <bookViews>
    <workbookView xWindow="-108" yWindow="-108" windowWidth="23256" windowHeight="12576" xr2:uid="{00000000-000D-0000-FFFF-FFFF00000000}"/>
  </bookViews>
  <sheets>
    <sheet name="Control_Lote" sheetId="1" r:id="rId1"/>
  </sheets>
  <definedNames>
    <definedName name="_xlnm.Print_Area" localSheetId="0">Control_Lote!$A$1:$O$40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5" i="1"/>
  <c r="H6" i="1" l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5" i="1" l="1"/>
</calcChain>
</file>

<file path=xl/sharedStrings.xml><?xml version="1.0" encoding="utf-8"?>
<sst xmlns="http://schemas.openxmlformats.org/spreadsheetml/2006/main" count="27" uniqueCount="27">
  <si>
    <t>Código Balanza:</t>
  </si>
  <si>
    <t>Código Termohigrómetro:</t>
  </si>
  <si>
    <t>Código Masa Patrón:</t>
  </si>
  <si>
    <t>Tipo de Filtro:</t>
  </si>
  <si>
    <t>PM-10 Blanco</t>
  </si>
  <si>
    <t>Codigo Filtro</t>
  </si>
  <si>
    <t>HR
% Lect</t>
  </si>
  <si>
    <t>T 
ºC
Lect</t>
  </si>
  <si>
    <t>HR
%
Corr</t>
  </si>
  <si>
    <t>T 
ºC
Corr</t>
  </si>
  <si>
    <t>Factor
HR</t>
  </si>
  <si>
    <t>Factor
T</t>
  </si>
  <si>
    <t>Responsable</t>
  </si>
  <si>
    <t>Observaciones</t>
  </si>
  <si>
    <t>Aceptar
/Rechazar</t>
  </si>
  <si>
    <t>Peso
g</t>
  </si>
  <si>
    <t>Codigo</t>
  </si>
  <si>
    <t>Desde</t>
  </si>
  <si>
    <t>Hasta</t>
  </si>
  <si>
    <t xml:space="preserve">Fecha </t>
  </si>
  <si>
    <t>Lote Nº</t>
  </si>
  <si>
    <t>Pesaje Control de Lote Filtro</t>
  </si>
  <si>
    <t>(Rango: 3.7 - 4.7)</t>
  </si>
  <si>
    <r>
      <rPr>
        <b/>
        <sz val="12"/>
        <color theme="1"/>
        <rFont val="Calibri"/>
        <family val="2"/>
        <scheme val="minor"/>
      </rPr>
      <t xml:space="preserve">FILAB-F-0104
</t>
    </r>
    <r>
      <rPr>
        <sz val="12"/>
        <color theme="1"/>
        <rFont val="Calibri"/>
        <family val="2"/>
        <scheme val="minor"/>
      </rPr>
      <t>Rev.02 (08/2022)</t>
    </r>
  </si>
  <si>
    <t>THIP-003</t>
  </si>
  <si>
    <t>MSP-002</t>
  </si>
  <si>
    <t>BAL-001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</si>
</sst>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"/>
    <numFmt numFmtId="166" formatCode="yyyy/mm/dd\ 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Wingdings 2"/>
      <family val="1"/>
      <charset val="2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/>
    <xf numFmtId="165" fontId="0" fillId="2" borderId="0" xfId="0" applyNumberFormat="1" applyFill="1"/>
    <xf numFmtId="164" fontId="0" fillId="2" borderId="0" xfId="0" applyNumberFormat="1" applyFill="1"/>
    <xf numFmtId="166" fontId="0" fillId="2" borderId="0" xfId="0" applyNumberFormat="1" applyFill="1"/>
    <xf numFmtId="165" fontId="0" fillId="2" borderId="2" xfId="0" applyNumberFormat="1" applyFill="1" applyBorder="1"/>
    <xf numFmtId="0" fontId="0" fillId="2" borderId="6" xfId="0" applyFill="1" applyBorder="1" applyAlignment="1">
      <alignment vertical="center" wrapText="1"/>
    </xf>
    <xf numFmtId="0" fontId="0" fillId="2" borderId="2" xfId="0" applyFill="1" applyBorder="1" applyProtection="1">
      <protection locked="0"/>
    </xf>
    <xf numFmtId="164" fontId="0" fillId="2" borderId="2" xfId="0" applyNumberFormat="1" applyFill="1" applyBorder="1" applyProtection="1">
      <protection locked="0"/>
    </xf>
    <xf numFmtId="166" fontId="0" fillId="2" borderId="2" xfId="0" applyNumberFormat="1" applyFill="1" applyBorder="1" applyProtection="1">
      <protection locked="0"/>
    </xf>
    <xf numFmtId="165" fontId="0" fillId="2" borderId="2" xfId="0" applyNumberFormat="1" applyFill="1" applyBorder="1" applyProtection="1">
      <protection locked="0"/>
    </xf>
    <xf numFmtId="0" fontId="0" fillId="2" borderId="7" xfId="0" applyFill="1" applyBorder="1" applyAlignment="1">
      <alignment vertical="center" wrapText="1"/>
    </xf>
    <xf numFmtId="0" fontId="0" fillId="2" borderId="8" xfId="0" applyFill="1" applyBorder="1" applyProtection="1">
      <protection locked="0"/>
    </xf>
    <xf numFmtId="0" fontId="5" fillId="2" borderId="8" xfId="0" applyFont="1" applyFill="1" applyBorder="1" applyAlignment="1">
      <alignment horizontal="center"/>
    </xf>
    <xf numFmtId="165" fontId="0" fillId="2" borderId="8" xfId="0" applyNumberFormat="1" applyFill="1" applyBorder="1" applyProtection="1">
      <protection locked="0"/>
    </xf>
    <xf numFmtId="165" fontId="0" fillId="2" borderId="8" xfId="0" applyNumberFormat="1" applyFill="1" applyBorder="1"/>
    <xf numFmtId="0" fontId="0" fillId="2" borderId="9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6" xfId="0" applyFill="1" applyBorder="1" applyAlignment="1">
      <alignment horizontal="center" wrapText="1"/>
    </xf>
    <xf numFmtId="0" fontId="0" fillId="2" borderId="8" xfId="0" applyFill="1" applyBorder="1" applyAlignment="1">
      <alignment horizontal="center" wrapText="1"/>
    </xf>
    <xf numFmtId="165" fontId="0" fillId="2" borderId="6" xfId="0" applyNumberFormat="1" applyFill="1" applyBorder="1" applyAlignment="1">
      <alignment horizontal="center" wrapText="1"/>
    </xf>
    <xf numFmtId="165" fontId="0" fillId="2" borderId="8" xfId="0" applyNumberFormat="1" applyFill="1" applyBorder="1" applyAlignment="1">
      <alignment horizontal="center" wrapText="1"/>
    </xf>
    <xf numFmtId="166" fontId="0" fillId="2" borderId="6" xfId="0" applyNumberFormat="1" applyFill="1" applyBorder="1" applyAlignment="1">
      <alignment horizontal="center"/>
    </xf>
    <xf numFmtId="166" fontId="0" fillId="2" borderId="8" xfId="0" applyNumberFormat="1" applyFill="1" applyBorder="1" applyAlignment="1">
      <alignment horizontal="center"/>
    </xf>
    <xf numFmtId="165" fontId="0" fillId="2" borderId="2" xfId="0" applyNumberFormat="1" applyFill="1" applyBorder="1" applyAlignment="1">
      <alignment horizontal="center" vertical="center" wrapText="1"/>
    </xf>
    <xf numFmtId="164" fontId="1" fillId="2" borderId="0" xfId="0" applyNumberFormat="1" applyFont="1" applyFill="1" applyAlignment="1">
      <alignment horizontal="right" vertical="center"/>
    </xf>
    <xf numFmtId="164" fontId="0" fillId="2" borderId="0" xfId="0" applyNumberFormat="1" applyFill="1" applyAlignment="1" applyProtection="1">
      <alignment vertical="center"/>
      <protection locked="0"/>
    </xf>
    <xf numFmtId="166" fontId="1" fillId="2" borderId="0" xfId="0" applyNumberFormat="1" applyFont="1" applyFill="1" applyAlignment="1">
      <alignment horizontal="right" vertical="center"/>
    </xf>
    <xf numFmtId="165" fontId="0" fillId="2" borderId="0" xfId="0" applyNumberFormat="1" applyFill="1" applyAlignment="1" applyProtection="1">
      <alignment vertical="center"/>
      <protection locked="0"/>
    </xf>
    <xf numFmtId="166" fontId="0" fillId="2" borderId="0" xfId="0" applyNumberFormat="1" applyFill="1" applyAlignment="1">
      <alignment vertical="center"/>
    </xf>
    <xf numFmtId="164" fontId="0" fillId="2" borderId="6" xfId="0" applyNumberFormat="1" applyFill="1" applyBorder="1" applyAlignment="1">
      <alignment horizontal="center" wrapText="1"/>
    </xf>
    <xf numFmtId="164" fontId="0" fillId="2" borderId="8" xfId="0" applyNumberFormat="1" applyFill="1" applyBorder="1" applyAlignment="1">
      <alignment horizont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65" fontId="0" fillId="2" borderId="9" xfId="0" applyNumberFormat="1" applyFill="1" applyBorder="1" applyAlignment="1">
      <alignment horizontal="center" vertical="center" wrapText="1"/>
    </xf>
    <xf numFmtId="165" fontId="0" fillId="2" borderId="10" xfId="0" applyNumberFormat="1" applyFill="1" applyBorder="1" applyAlignment="1">
      <alignment horizontal="center" vertical="center" wrapText="1"/>
    </xf>
    <xf numFmtId="166" fontId="1" fillId="2" borderId="1" xfId="0" applyNumberFormat="1" applyFont="1" applyFill="1" applyBorder="1" applyAlignment="1">
      <alignment horizontal="right" vertical="center"/>
    </xf>
    <xf numFmtId="165" fontId="2" fillId="2" borderId="3" xfId="0" applyNumberFormat="1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 vertical="center"/>
    </xf>
    <xf numFmtId="165" fontId="2" fillId="2" borderId="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</xdr:rowOff>
    </xdr:from>
    <xdr:to>
      <xdr:col>1</xdr:col>
      <xdr:colOff>28575</xdr:colOff>
      <xdr:row>0</xdr:row>
      <xdr:rowOff>513860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"/>
          <a:ext cx="1247775" cy="5138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1905000</xdr:colOff>
          <xdr:row>1</xdr:row>
          <xdr:rowOff>99060</xdr:rowOff>
        </xdr:from>
        <xdr:to>
          <xdr:col>14</xdr:col>
          <xdr:colOff>685800</xdr:colOff>
          <xdr:row>1</xdr:row>
          <xdr:rowOff>335280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40"/>
  <sheetViews>
    <sheetView tabSelected="1" workbookViewId="0">
      <selection activeCell="E5" sqref="E5:F14"/>
    </sheetView>
  </sheetViews>
  <sheetFormatPr baseColWidth="10" defaultColWidth="11.44140625" defaultRowHeight="14.4" x14ac:dyDescent="0.3"/>
  <cols>
    <col min="1" max="1" width="18.33203125" style="1" customWidth="1"/>
    <col min="2" max="2" width="22.6640625" style="1" customWidth="1"/>
    <col min="3" max="3" width="10.5546875" style="3" customWidth="1"/>
    <col min="4" max="4" width="30.6640625" style="4" customWidth="1"/>
    <col min="5" max="5" width="9.88671875" style="2" customWidth="1"/>
    <col min="6" max="6" width="10.44140625" style="2" customWidth="1"/>
    <col min="7" max="7" width="8.44140625" style="2" customWidth="1"/>
    <col min="8" max="8" width="8" style="2" customWidth="1"/>
    <col min="9" max="9" width="8.88671875" style="2" customWidth="1"/>
    <col min="10" max="13" width="10.33203125" style="2" customWidth="1"/>
    <col min="14" max="14" width="39.33203125" style="1" customWidth="1"/>
    <col min="15" max="15" width="12.33203125" style="1" bestFit="1" customWidth="1"/>
    <col min="16" max="16384" width="11.44140625" style="1"/>
  </cols>
  <sheetData>
    <row r="1" spans="1:15" ht="42" customHeight="1" x14ac:dyDescent="0.3">
      <c r="A1" s="6"/>
      <c r="B1" s="11"/>
      <c r="C1" s="39" t="s">
        <v>21</v>
      </c>
      <c r="D1" s="40"/>
      <c r="E1" s="40"/>
      <c r="F1" s="40"/>
      <c r="G1" s="40"/>
      <c r="H1" s="40"/>
      <c r="I1" s="40"/>
      <c r="J1" s="40"/>
      <c r="K1" s="40"/>
      <c r="L1" s="40"/>
      <c r="M1" s="41"/>
      <c r="N1" s="34" t="s">
        <v>23</v>
      </c>
      <c r="O1" s="35"/>
    </row>
    <row r="2" spans="1:15" ht="27.75" customHeight="1" x14ac:dyDescent="0.3">
      <c r="A2" s="38" t="s">
        <v>0</v>
      </c>
      <c r="B2" s="38"/>
      <c r="C2" s="28" t="s">
        <v>26</v>
      </c>
      <c r="D2" s="29" t="s">
        <v>1</v>
      </c>
      <c r="E2" s="30" t="s">
        <v>24</v>
      </c>
      <c r="F2" s="30"/>
      <c r="G2" s="29"/>
      <c r="H2" s="29" t="s">
        <v>2</v>
      </c>
      <c r="I2" s="30" t="s">
        <v>25</v>
      </c>
      <c r="J2" s="27"/>
      <c r="K2" s="27"/>
      <c r="L2" s="27" t="s">
        <v>3</v>
      </c>
      <c r="M2" s="31" t="s">
        <v>4</v>
      </c>
      <c r="N2" s="27"/>
      <c r="O2" s="31"/>
    </row>
    <row r="3" spans="1:15" ht="47.25" customHeight="1" x14ac:dyDescent="0.3">
      <c r="A3" s="16" t="s">
        <v>5</v>
      </c>
      <c r="B3" s="32" t="s">
        <v>15</v>
      </c>
      <c r="C3" s="20" t="s">
        <v>14</v>
      </c>
      <c r="D3" s="24" t="s">
        <v>19</v>
      </c>
      <c r="E3" s="22" t="s">
        <v>6</v>
      </c>
      <c r="F3" s="22" t="s">
        <v>7</v>
      </c>
      <c r="G3" s="22" t="s">
        <v>8</v>
      </c>
      <c r="H3" s="22" t="s">
        <v>9</v>
      </c>
      <c r="I3" s="22" t="s">
        <v>10</v>
      </c>
      <c r="J3" s="22" t="s">
        <v>11</v>
      </c>
      <c r="K3" s="22" t="s">
        <v>20</v>
      </c>
      <c r="L3" s="36" t="s">
        <v>16</v>
      </c>
      <c r="M3" s="37"/>
      <c r="N3" s="20" t="s">
        <v>13</v>
      </c>
      <c r="O3" s="18" t="s">
        <v>12</v>
      </c>
    </row>
    <row r="4" spans="1:15" ht="12.75" customHeight="1" x14ac:dyDescent="0.3">
      <c r="A4" s="17"/>
      <c r="B4" s="33" t="s">
        <v>22</v>
      </c>
      <c r="C4" s="21"/>
      <c r="D4" s="25"/>
      <c r="E4" s="23"/>
      <c r="F4" s="23"/>
      <c r="G4" s="23"/>
      <c r="H4" s="23"/>
      <c r="I4" s="23"/>
      <c r="J4" s="23"/>
      <c r="K4" s="23"/>
      <c r="L4" s="26" t="s">
        <v>17</v>
      </c>
      <c r="M4" s="26" t="s">
        <v>18</v>
      </c>
      <c r="N4" s="21"/>
      <c r="O4" s="19"/>
    </row>
    <row r="5" spans="1:15" ht="17.399999999999999" x14ac:dyDescent="0.3">
      <c r="A5" s="12"/>
      <c r="B5" s="8"/>
      <c r="C5" s="13" t="str">
        <f>IF(LEFT(A5,2)="MP",IF(AND(B5&gt;=4.9992,B5&lt;=5.0002),"P","O"),IF(B5&lt;&gt;"",IF(B5&gt;=3.7,IF(B5&lt;=4.7,"P","O"),"O"),""))</f>
        <v/>
      </c>
      <c r="D5" s="9"/>
      <c r="E5" s="10"/>
      <c r="F5" s="10"/>
      <c r="G5" s="15" t="str">
        <f>IF(AND(E5&lt;&gt;"",I5&lt;&gt;""),(E5-I5),"")</f>
        <v/>
      </c>
      <c r="H5" s="15" t="str">
        <f>IF(AND(F5&lt;&gt;"",J5&lt;&gt;""),(F5-J5),"")</f>
        <v/>
      </c>
      <c r="I5" s="14"/>
      <c r="J5" s="14"/>
      <c r="K5" s="10"/>
      <c r="L5" s="12"/>
      <c r="M5" s="12"/>
      <c r="N5" s="12"/>
      <c r="O5" s="12"/>
    </row>
    <row r="6" spans="1:15" ht="17.399999999999999" x14ac:dyDescent="0.3">
      <c r="A6" s="12"/>
      <c r="B6" s="8"/>
      <c r="C6" s="13" t="str">
        <f t="shared" ref="C6:C40" si="0">IF(LEFT(A6,2)="MP",IF(AND(B6&gt;=4.9992,B6&lt;=5.0002),"P","O"),IF(B6&lt;&gt;"",IF(B6&gt;=3.7,IF(B6&lt;=4.7,"P","O"),"O"),""))</f>
        <v/>
      </c>
      <c r="D6" s="9"/>
      <c r="E6" s="10"/>
      <c r="F6" s="10"/>
      <c r="G6" s="5" t="str">
        <f>IF(AND(E6&lt;&gt;"",I6&lt;&gt;""),(E6-I6),"")</f>
        <v/>
      </c>
      <c r="H6" s="5" t="str">
        <f>IF(AND(F6&lt;&gt;"",J6&lt;&gt;""),(F6-J6),"")</f>
        <v/>
      </c>
      <c r="I6" s="14"/>
      <c r="J6" s="14"/>
      <c r="K6" s="10"/>
      <c r="L6" s="12"/>
      <c r="M6" s="12"/>
      <c r="N6" s="12"/>
      <c r="O6" s="12"/>
    </row>
    <row r="7" spans="1:15" ht="17.399999999999999" x14ac:dyDescent="0.3">
      <c r="A7" s="12"/>
      <c r="B7" s="8"/>
      <c r="C7" s="13" t="str">
        <f t="shared" si="0"/>
        <v/>
      </c>
      <c r="D7" s="9"/>
      <c r="E7" s="10"/>
      <c r="F7" s="10"/>
      <c r="G7" s="5" t="str">
        <f>IF(AND(E7&lt;&gt;"",I7&lt;&gt;""),(E7-I7),"")</f>
        <v/>
      </c>
      <c r="H7" s="5" t="str">
        <f>IF(AND(F7&lt;&gt;"",J7&lt;&gt;""),(F7-J7),"")</f>
        <v/>
      </c>
      <c r="I7" s="14"/>
      <c r="J7" s="14"/>
      <c r="K7" s="10"/>
      <c r="L7" s="12"/>
      <c r="M7" s="12"/>
      <c r="N7" s="12"/>
      <c r="O7" s="12"/>
    </row>
    <row r="8" spans="1:15" ht="17.399999999999999" x14ac:dyDescent="0.3">
      <c r="A8" s="12"/>
      <c r="B8" s="8"/>
      <c r="C8" s="13" t="str">
        <f t="shared" si="0"/>
        <v/>
      </c>
      <c r="D8" s="9"/>
      <c r="E8" s="10"/>
      <c r="F8" s="10"/>
      <c r="G8" s="5" t="str">
        <f>IF(AND(E8&lt;&gt;"",I8&lt;&gt;""),(E8-I8),"")</f>
        <v/>
      </c>
      <c r="H8" s="5" t="str">
        <f>IF(AND(F8&lt;&gt;"",J8&lt;&gt;""),(F8-J8),"")</f>
        <v/>
      </c>
      <c r="I8" s="14"/>
      <c r="J8" s="14"/>
      <c r="K8" s="10"/>
      <c r="L8" s="12"/>
      <c r="M8" s="12"/>
      <c r="N8" s="12"/>
      <c r="O8" s="12"/>
    </row>
    <row r="9" spans="1:15" ht="17.399999999999999" x14ac:dyDescent="0.3">
      <c r="A9" s="12"/>
      <c r="B9" s="8"/>
      <c r="C9" s="13" t="str">
        <f t="shared" si="0"/>
        <v/>
      </c>
      <c r="D9" s="9"/>
      <c r="E9" s="10"/>
      <c r="F9" s="10"/>
      <c r="G9" s="5" t="str">
        <f>IF(AND(E9&lt;&gt;"",I9&lt;&gt;""),(E9-I9),"")</f>
        <v/>
      </c>
      <c r="H9" s="5" t="str">
        <f>IF(AND(F9&lt;&gt;"",J9&lt;&gt;""),(F9-J9),"")</f>
        <v/>
      </c>
      <c r="I9" s="14"/>
      <c r="J9" s="14"/>
      <c r="K9" s="10"/>
      <c r="L9" s="12"/>
      <c r="M9" s="12"/>
      <c r="N9" s="12"/>
      <c r="O9" s="12"/>
    </row>
    <row r="10" spans="1:15" ht="17.399999999999999" x14ac:dyDescent="0.3">
      <c r="A10" s="12"/>
      <c r="B10" s="8"/>
      <c r="C10" s="13" t="str">
        <f t="shared" si="0"/>
        <v/>
      </c>
      <c r="D10" s="9"/>
      <c r="E10" s="10"/>
      <c r="F10" s="10"/>
      <c r="G10" s="5" t="str">
        <f>IF(AND(E10&lt;&gt;"",I10&lt;&gt;""),(E10-I10),"")</f>
        <v/>
      </c>
      <c r="H10" s="5" t="str">
        <f>IF(AND(F10&lt;&gt;"",J10&lt;&gt;""),(F10-J10),"")</f>
        <v/>
      </c>
      <c r="I10" s="14"/>
      <c r="J10" s="14"/>
      <c r="K10" s="10"/>
      <c r="L10" s="12"/>
      <c r="M10" s="12"/>
      <c r="N10" s="12"/>
      <c r="O10" s="12"/>
    </row>
    <row r="11" spans="1:15" ht="17.399999999999999" x14ac:dyDescent="0.3">
      <c r="A11" s="12"/>
      <c r="B11" s="8"/>
      <c r="C11" s="13" t="str">
        <f t="shared" si="0"/>
        <v/>
      </c>
      <c r="D11" s="9"/>
      <c r="E11" s="10"/>
      <c r="F11" s="10"/>
      <c r="G11" s="5" t="str">
        <f>IF(AND(E11&lt;&gt;"",I11&lt;&gt;""),(E11-I11),"")</f>
        <v/>
      </c>
      <c r="H11" s="5" t="str">
        <f>IF(AND(F11&lt;&gt;"",J11&lt;&gt;""),(F11-J11),"")</f>
        <v/>
      </c>
      <c r="I11" s="14"/>
      <c r="J11" s="14"/>
      <c r="K11" s="10"/>
      <c r="L11" s="12"/>
      <c r="M11" s="12"/>
      <c r="N11" s="12"/>
      <c r="O11" s="12"/>
    </row>
    <row r="12" spans="1:15" ht="17.399999999999999" x14ac:dyDescent="0.3">
      <c r="A12" s="12"/>
      <c r="B12" s="8"/>
      <c r="C12" s="13" t="str">
        <f t="shared" si="0"/>
        <v/>
      </c>
      <c r="D12" s="9"/>
      <c r="E12" s="10"/>
      <c r="F12" s="10"/>
      <c r="G12" s="5" t="str">
        <f>IF(AND(E12&lt;&gt;"",I12&lt;&gt;""),(E12-I12),"")</f>
        <v/>
      </c>
      <c r="H12" s="5" t="str">
        <f>IF(AND(F12&lt;&gt;"",J12&lt;&gt;""),(F12-J12),"")</f>
        <v/>
      </c>
      <c r="I12" s="14"/>
      <c r="J12" s="14"/>
      <c r="K12" s="10"/>
      <c r="L12" s="12"/>
      <c r="M12" s="12"/>
      <c r="N12" s="12"/>
      <c r="O12" s="12"/>
    </row>
    <row r="13" spans="1:15" ht="17.399999999999999" x14ac:dyDescent="0.3">
      <c r="A13" s="12"/>
      <c r="B13" s="8"/>
      <c r="C13" s="13" t="str">
        <f t="shared" si="0"/>
        <v/>
      </c>
      <c r="D13" s="9"/>
      <c r="E13" s="10"/>
      <c r="F13" s="10"/>
      <c r="G13" s="5" t="str">
        <f>IF(AND(E13&lt;&gt;"",I13&lt;&gt;""),(E13-I13),"")</f>
        <v/>
      </c>
      <c r="H13" s="5" t="str">
        <f>IF(AND(F13&lt;&gt;"",J13&lt;&gt;""),(F13-J13),"")</f>
        <v/>
      </c>
      <c r="I13" s="14"/>
      <c r="J13" s="14"/>
      <c r="K13" s="10"/>
      <c r="L13" s="12"/>
      <c r="M13" s="12"/>
      <c r="N13" s="12"/>
      <c r="O13" s="12"/>
    </row>
    <row r="14" spans="1:15" ht="17.399999999999999" x14ac:dyDescent="0.3">
      <c r="A14" s="12"/>
      <c r="B14" s="8"/>
      <c r="C14" s="13" t="str">
        <f t="shared" si="0"/>
        <v/>
      </c>
      <c r="D14" s="9"/>
      <c r="E14" s="10"/>
      <c r="F14" s="10"/>
      <c r="G14" s="5" t="str">
        <f>IF(AND(E14&lt;&gt;"",I14&lt;&gt;""),(E14-I14),"")</f>
        <v/>
      </c>
      <c r="H14" s="5" t="str">
        <f>IF(AND(F14&lt;&gt;"",J14&lt;&gt;""),(F14-J14),"")</f>
        <v/>
      </c>
      <c r="I14" s="14"/>
      <c r="J14" s="14"/>
      <c r="K14" s="10"/>
      <c r="L14" s="12"/>
      <c r="M14" s="12"/>
      <c r="N14" s="12"/>
      <c r="O14" s="12"/>
    </row>
    <row r="15" spans="1:15" ht="17.399999999999999" x14ac:dyDescent="0.3">
      <c r="A15" s="12"/>
      <c r="B15" s="8"/>
      <c r="C15" s="13" t="str">
        <f t="shared" si="0"/>
        <v/>
      </c>
      <c r="D15" s="9"/>
      <c r="E15" s="10"/>
      <c r="F15" s="10"/>
      <c r="G15" s="5" t="str">
        <f>IF(AND(E15&lt;&gt;"",I15&lt;&gt;""),(E15-I15),"")</f>
        <v/>
      </c>
      <c r="H15" s="5" t="str">
        <f>IF(AND(F15&lt;&gt;"",J15&lt;&gt;""),(F15-J15),"")</f>
        <v/>
      </c>
      <c r="I15" s="14"/>
      <c r="J15" s="14"/>
      <c r="K15" s="10"/>
      <c r="L15" s="12"/>
      <c r="M15" s="12"/>
      <c r="N15" s="12"/>
      <c r="O15" s="12"/>
    </row>
    <row r="16" spans="1:15" ht="17.399999999999999" x14ac:dyDescent="0.3">
      <c r="A16" s="7"/>
      <c r="B16" s="8"/>
      <c r="C16" s="13" t="str">
        <f t="shared" si="0"/>
        <v/>
      </c>
      <c r="D16" s="9"/>
      <c r="E16" s="10"/>
      <c r="F16" s="10"/>
      <c r="G16" s="5" t="str">
        <f t="shared" ref="G16:G40" si="1">IF(AND(E16&lt;&gt;"",I16&lt;&gt;""),(E16-I16),"")</f>
        <v/>
      </c>
      <c r="H16" s="5" t="str">
        <f t="shared" ref="H16:H40" si="2">IF(AND(F16&lt;&gt;"",J16&lt;&gt;""),(F16-J16),"")</f>
        <v/>
      </c>
      <c r="I16" s="14"/>
      <c r="J16" s="14"/>
      <c r="K16" s="10"/>
      <c r="L16" s="12"/>
      <c r="M16" s="12"/>
      <c r="N16" s="12"/>
      <c r="O16" s="12"/>
    </row>
    <row r="17" spans="1:15" ht="17.399999999999999" x14ac:dyDescent="0.3">
      <c r="A17" s="7"/>
      <c r="B17" s="8"/>
      <c r="C17" s="13" t="str">
        <f t="shared" si="0"/>
        <v/>
      </c>
      <c r="D17" s="9"/>
      <c r="E17" s="10"/>
      <c r="F17" s="10"/>
      <c r="G17" s="5" t="str">
        <f t="shared" si="1"/>
        <v/>
      </c>
      <c r="H17" s="5" t="str">
        <f t="shared" si="2"/>
        <v/>
      </c>
      <c r="I17" s="14"/>
      <c r="J17" s="14"/>
      <c r="K17" s="10"/>
      <c r="L17" s="12"/>
      <c r="M17" s="12"/>
      <c r="N17" s="7"/>
      <c r="O17" s="7"/>
    </row>
    <row r="18" spans="1:15" ht="17.399999999999999" x14ac:dyDescent="0.3">
      <c r="A18" s="7"/>
      <c r="B18" s="8"/>
      <c r="C18" s="13" t="str">
        <f t="shared" si="0"/>
        <v/>
      </c>
      <c r="D18" s="9"/>
      <c r="E18" s="10"/>
      <c r="F18" s="10"/>
      <c r="G18" s="5" t="str">
        <f t="shared" si="1"/>
        <v/>
      </c>
      <c r="H18" s="5" t="str">
        <f t="shared" si="2"/>
        <v/>
      </c>
      <c r="I18" s="14"/>
      <c r="J18" s="14"/>
      <c r="K18" s="10"/>
      <c r="L18" s="7"/>
      <c r="M18" s="7"/>
      <c r="N18" s="7"/>
      <c r="O18" s="7"/>
    </row>
    <row r="19" spans="1:15" ht="17.399999999999999" x14ac:dyDescent="0.3">
      <c r="A19" s="7"/>
      <c r="B19" s="8"/>
      <c r="C19" s="13" t="str">
        <f t="shared" si="0"/>
        <v/>
      </c>
      <c r="D19" s="9"/>
      <c r="E19" s="10"/>
      <c r="F19" s="10"/>
      <c r="G19" s="5" t="str">
        <f t="shared" si="1"/>
        <v/>
      </c>
      <c r="H19" s="5" t="str">
        <f t="shared" si="2"/>
        <v/>
      </c>
      <c r="I19" s="14"/>
      <c r="J19" s="14"/>
      <c r="K19" s="10"/>
      <c r="L19" s="7"/>
      <c r="M19" s="7"/>
      <c r="N19" s="7"/>
      <c r="O19" s="7"/>
    </row>
    <row r="20" spans="1:15" ht="17.399999999999999" x14ac:dyDescent="0.3">
      <c r="A20" s="7"/>
      <c r="B20" s="8"/>
      <c r="C20" s="13" t="str">
        <f t="shared" si="0"/>
        <v/>
      </c>
      <c r="D20" s="9"/>
      <c r="E20" s="10"/>
      <c r="F20" s="10"/>
      <c r="G20" s="5" t="str">
        <f t="shared" si="1"/>
        <v/>
      </c>
      <c r="H20" s="5" t="str">
        <f t="shared" si="2"/>
        <v/>
      </c>
      <c r="I20" s="14"/>
      <c r="J20" s="14"/>
      <c r="K20" s="10"/>
      <c r="L20" s="7"/>
      <c r="M20" s="7"/>
      <c r="N20" s="7"/>
      <c r="O20" s="7"/>
    </row>
    <row r="21" spans="1:15" ht="17.399999999999999" x14ac:dyDescent="0.3">
      <c r="A21" s="7"/>
      <c r="B21" s="8"/>
      <c r="C21" s="13" t="str">
        <f t="shared" si="0"/>
        <v/>
      </c>
      <c r="D21" s="9"/>
      <c r="E21" s="10"/>
      <c r="F21" s="10"/>
      <c r="G21" s="5" t="str">
        <f t="shared" si="1"/>
        <v/>
      </c>
      <c r="H21" s="5" t="str">
        <f t="shared" si="2"/>
        <v/>
      </c>
      <c r="I21" s="14"/>
      <c r="J21" s="14"/>
      <c r="K21" s="10"/>
      <c r="L21" s="7"/>
      <c r="M21" s="7"/>
      <c r="N21" s="7"/>
      <c r="O21" s="7"/>
    </row>
    <row r="22" spans="1:15" ht="17.399999999999999" x14ac:dyDescent="0.3">
      <c r="A22" s="7"/>
      <c r="B22" s="8"/>
      <c r="C22" s="13" t="str">
        <f t="shared" si="0"/>
        <v/>
      </c>
      <c r="D22" s="9"/>
      <c r="E22" s="10"/>
      <c r="F22" s="10"/>
      <c r="G22" s="5" t="str">
        <f t="shared" si="1"/>
        <v/>
      </c>
      <c r="H22" s="5" t="str">
        <f t="shared" si="2"/>
        <v/>
      </c>
      <c r="I22" s="14"/>
      <c r="J22" s="14"/>
      <c r="K22" s="10"/>
      <c r="L22" s="7"/>
      <c r="M22" s="7"/>
      <c r="N22" s="7"/>
      <c r="O22" s="7"/>
    </row>
    <row r="23" spans="1:15" ht="17.399999999999999" x14ac:dyDescent="0.3">
      <c r="A23" s="7"/>
      <c r="B23" s="8"/>
      <c r="C23" s="13" t="str">
        <f t="shared" si="0"/>
        <v/>
      </c>
      <c r="D23" s="9"/>
      <c r="E23" s="10"/>
      <c r="F23" s="10"/>
      <c r="G23" s="5" t="str">
        <f t="shared" si="1"/>
        <v/>
      </c>
      <c r="H23" s="5" t="str">
        <f t="shared" si="2"/>
        <v/>
      </c>
      <c r="I23" s="14"/>
      <c r="J23" s="14"/>
      <c r="K23" s="10"/>
      <c r="L23" s="7"/>
      <c r="M23" s="7"/>
      <c r="N23" s="7"/>
      <c r="O23" s="7"/>
    </row>
    <row r="24" spans="1:15" ht="17.399999999999999" x14ac:dyDescent="0.3">
      <c r="A24" s="7"/>
      <c r="B24" s="8"/>
      <c r="C24" s="13" t="str">
        <f t="shared" si="0"/>
        <v/>
      </c>
      <c r="D24" s="9"/>
      <c r="E24" s="10"/>
      <c r="F24" s="10"/>
      <c r="G24" s="5" t="str">
        <f t="shared" si="1"/>
        <v/>
      </c>
      <c r="H24" s="5" t="str">
        <f t="shared" si="2"/>
        <v/>
      </c>
      <c r="I24" s="14"/>
      <c r="J24" s="14"/>
      <c r="K24" s="10"/>
      <c r="L24" s="7"/>
      <c r="M24" s="7"/>
      <c r="N24" s="7"/>
      <c r="O24" s="7"/>
    </row>
    <row r="25" spans="1:15" ht="17.399999999999999" x14ac:dyDescent="0.3">
      <c r="A25" s="7"/>
      <c r="B25" s="8"/>
      <c r="C25" s="13" t="str">
        <f t="shared" si="0"/>
        <v/>
      </c>
      <c r="D25" s="9"/>
      <c r="E25" s="10"/>
      <c r="F25" s="10"/>
      <c r="G25" s="5" t="str">
        <f t="shared" si="1"/>
        <v/>
      </c>
      <c r="H25" s="5" t="str">
        <f t="shared" si="2"/>
        <v/>
      </c>
      <c r="I25" s="14"/>
      <c r="J25" s="14"/>
      <c r="K25" s="10"/>
      <c r="L25" s="7"/>
      <c r="M25" s="7"/>
      <c r="N25" s="7"/>
      <c r="O25" s="7"/>
    </row>
    <row r="26" spans="1:15" ht="17.399999999999999" x14ac:dyDescent="0.3">
      <c r="A26" s="7"/>
      <c r="B26" s="8"/>
      <c r="C26" s="13" t="str">
        <f t="shared" si="0"/>
        <v/>
      </c>
      <c r="D26" s="9"/>
      <c r="E26" s="10"/>
      <c r="F26" s="10"/>
      <c r="G26" s="5" t="str">
        <f t="shared" si="1"/>
        <v/>
      </c>
      <c r="H26" s="5" t="str">
        <f t="shared" si="2"/>
        <v/>
      </c>
      <c r="I26" s="14"/>
      <c r="J26" s="14"/>
      <c r="K26" s="10"/>
      <c r="L26" s="7"/>
      <c r="M26" s="7"/>
      <c r="N26" s="7"/>
      <c r="O26" s="7"/>
    </row>
    <row r="27" spans="1:15" ht="17.399999999999999" x14ac:dyDescent="0.3">
      <c r="A27" s="7"/>
      <c r="B27" s="8"/>
      <c r="C27" s="13" t="str">
        <f t="shared" si="0"/>
        <v/>
      </c>
      <c r="D27" s="9"/>
      <c r="E27" s="10"/>
      <c r="F27" s="10"/>
      <c r="G27" s="5" t="str">
        <f t="shared" si="1"/>
        <v/>
      </c>
      <c r="H27" s="5" t="str">
        <f t="shared" si="2"/>
        <v/>
      </c>
      <c r="I27" s="10"/>
      <c r="J27" s="10"/>
      <c r="K27" s="10"/>
      <c r="L27" s="7"/>
      <c r="M27" s="7"/>
      <c r="N27" s="7"/>
      <c r="O27" s="7"/>
    </row>
    <row r="28" spans="1:15" ht="17.399999999999999" x14ac:dyDescent="0.3">
      <c r="A28" s="7"/>
      <c r="B28" s="8"/>
      <c r="C28" s="13" t="str">
        <f t="shared" si="0"/>
        <v/>
      </c>
      <c r="D28" s="9"/>
      <c r="E28" s="10"/>
      <c r="F28" s="10"/>
      <c r="G28" s="5" t="str">
        <f t="shared" si="1"/>
        <v/>
      </c>
      <c r="H28" s="5" t="str">
        <f t="shared" si="2"/>
        <v/>
      </c>
      <c r="I28" s="10"/>
      <c r="J28" s="10"/>
      <c r="K28" s="10"/>
      <c r="L28" s="7"/>
      <c r="M28" s="7"/>
      <c r="N28" s="7"/>
      <c r="O28" s="7"/>
    </row>
    <row r="29" spans="1:15" ht="17.399999999999999" x14ac:dyDescent="0.3">
      <c r="A29" s="7"/>
      <c r="B29" s="8"/>
      <c r="C29" s="13" t="str">
        <f t="shared" si="0"/>
        <v/>
      </c>
      <c r="D29" s="9"/>
      <c r="E29" s="10"/>
      <c r="F29" s="10"/>
      <c r="G29" s="5" t="str">
        <f t="shared" si="1"/>
        <v/>
      </c>
      <c r="H29" s="5" t="str">
        <f t="shared" si="2"/>
        <v/>
      </c>
      <c r="I29" s="10"/>
      <c r="J29" s="10"/>
      <c r="K29" s="10"/>
      <c r="L29" s="7"/>
      <c r="M29" s="7"/>
      <c r="N29" s="7"/>
      <c r="O29" s="7"/>
    </row>
    <row r="30" spans="1:15" ht="17.399999999999999" x14ac:dyDescent="0.3">
      <c r="A30" s="7"/>
      <c r="B30" s="8"/>
      <c r="C30" s="13" t="str">
        <f t="shared" si="0"/>
        <v/>
      </c>
      <c r="D30" s="9"/>
      <c r="E30" s="10"/>
      <c r="F30" s="10"/>
      <c r="G30" s="5" t="str">
        <f t="shared" si="1"/>
        <v/>
      </c>
      <c r="H30" s="5" t="str">
        <f t="shared" si="2"/>
        <v/>
      </c>
      <c r="I30" s="10"/>
      <c r="J30" s="10"/>
      <c r="K30" s="10"/>
      <c r="L30" s="7"/>
      <c r="M30" s="7"/>
      <c r="N30" s="7"/>
      <c r="O30" s="7"/>
    </row>
    <row r="31" spans="1:15" ht="17.399999999999999" x14ac:dyDescent="0.3">
      <c r="A31" s="7"/>
      <c r="B31" s="8"/>
      <c r="C31" s="13" t="str">
        <f t="shared" si="0"/>
        <v/>
      </c>
      <c r="D31" s="9"/>
      <c r="E31" s="10"/>
      <c r="F31" s="10"/>
      <c r="G31" s="5" t="str">
        <f t="shared" si="1"/>
        <v/>
      </c>
      <c r="H31" s="5" t="str">
        <f t="shared" si="2"/>
        <v/>
      </c>
      <c r="I31" s="10"/>
      <c r="J31" s="10"/>
      <c r="K31" s="10"/>
      <c r="L31" s="7"/>
      <c r="M31" s="7"/>
      <c r="N31" s="7"/>
      <c r="O31" s="7"/>
    </row>
    <row r="32" spans="1:15" ht="17.399999999999999" x14ac:dyDescent="0.3">
      <c r="A32" s="7"/>
      <c r="B32" s="8"/>
      <c r="C32" s="13" t="str">
        <f t="shared" si="0"/>
        <v/>
      </c>
      <c r="D32" s="9"/>
      <c r="E32" s="10"/>
      <c r="F32" s="10"/>
      <c r="G32" s="5" t="str">
        <f t="shared" si="1"/>
        <v/>
      </c>
      <c r="H32" s="5" t="str">
        <f t="shared" si="2"/>
        <v/>
      </c>
      <c r="I32" s="10"/>
      <c r="J32" s="10"/>
      <c r="K32" s="10"/>
      <c r="L32" s="7"/>
      <c r="M32" s="7"/>
      <c r="N32" s="7"/>
      <c r="O32" s="7"/>
    </row>
    <row r="33" spans="1:15" ht="17.399999999999999" x14ac:dyDescent="0.3">
      <c r="A33" s="7"/>
      <c r="B33" s="8"/>
      <c r="C33" s="13" t="str">
        <f t="shared" si="0"/>
        <v/>
      </c>
      <c r="D33" s="9"/>
      <c r="E33" s="10"/>
      <c r="F33" s="10"/>
      <c r="G33" s="5" t="str">
        <f t="shared" si="1"/>
        <v/>
      </c>
      <c r="H33" s="5" t="str">
        <f t="shared" si="2"/>
        <v/>
      </c>
      <c r="I33" s="10"/>
      <c r="J33" s="10"/>
      <c r="K33" s="10"/>
      <c r="L33" s="7"/>
      <c r="M33" s="7"/>
      <c r="N33" s="7"/>
      <c r="O33" s="7"/>
    </row>
    <row r="34" spans="1:15" ht="17.399999999999999" x14ac:dyDescent="0.3">
      <c r="A34" s="7"/>
      <c r="B34" s="8"/>
      <c r="C34" s="13" t="str">
        <f t="shared" si="0"/>
        <v/>
      </c>
      <c r="D34" s="9"/>
      <c r="E34" s="10"/>
      <c r="F34" s="10"/>
      <c r="G34" s="5" t="str">
        <f t="shared" si="1"/>
        <v/>
      </c>
      <c r="H34" s="5" t="str">
        <f t="shared" si="2"/>
        <v/>
      </c>
      <c r="I34" s="10"/>
      <c r="J34" s="10"/>
      <c r="K34" s="10"/>
      <c r="L34" s="7"/>
      <c r="M34" s="7"/>
      <c r="N34" s="7"/>
      <c r="O34" s="7"/>
    </row>
    <row r="35" spans="1:15" ht="17.399999999999999" x14ac:dyDescent="0.3">
      <c r="A35" s="7"/>
      <c r="B35" s="8"/>
      <c r="C35" s="13" t="str">
        <f t="shared" si="0"/>
        <v/>
      </c>
      <c r="D35" s="9"/>
      <c r="E35" s="10"/>
      <c r="F35" s="10"/>
      <c r="G35" s="5" t="str">
        <f t="shared" si="1"/>
        <v/>
      </c>
      <c r="H35" s="5" t="str">
        <f t="shared" si="2"/>
        <v/>
      </c>
      <c r="I35" s="10"/>
      <c r="J35" s="10"/>
      <c r="K35" s="10"/>
      <c r="L35" s="7"/>
      <c r="M35" s="7"/>
      <c r="N35" s="7"/>
      <c r="O35" s="7"/>
    </row>
    <row r="36" spans="1:15" ht="17.399999999999999" x14ac:dyDescent="0.3">
      <c r="A36" s="7"/>
      <c r="B36" s="8"/>
      <c r="C36" s="13" t="str">
        <f t="shared" si="0"/>
        <v/>
      </c>
      <c r="D36" s="9"/>
      <c r="E36" s="10"/>
      <c r="F36" s="10"/>
      <c r="G36" s="5" t="str">
        <f t="shared" si="1"/>
        <v/>
      </c>
      <c r="H36" s="5" t="str">
        <f t="shared" si="2"/>
        <v/>
      </c>
      <c r="I36" s="10"/>
      <c r="J36" s="10"/>
      <c r="K36" s="10"/>
      <c r="L36" s="7"/>
      <c r="M36" s="7"/>
      <c r="N36" s="7"/>
      <c r="O36" s="7"/>
    </row>
    <row r="37" spans="1:15" ht="17.399999999999999" x14ac:dyDescent="0.3">
      <c r="A37" s="7"/>
      <c r="B37" s="8"/>
      <c r="C37" s="13" t="str">
        <f t="shared" si="0"/>
        <v/>
      </c>
      <c r="D37" s="9"/>
      <c r="E37" s="10"/>
      <c r="F37" s="10"/>
      <c r="G37" s="5" t="str">
        <f t="shared" si="1"/>
        <v/>
      </c>
      <c r="H37" s="5" t="str">
        <f t="shared" si="2"/>
        <v/>
      </c>
      <c r="I37" s="10"/>
      <c r="J37" s="10"/>
      <c r="K37" s="10"/>
      <c r="L37" s="7"/>
      <c r="M37" s="7"/>
      <c r="N37" s="7"/>
      <c r="O37" s="7"/>
    </row>
    <row r="38" spans="1:15" ht="17.399999999999999" x14ac:dyDescent="0.3">
      <c r="A38" s="7"/>
      <c r="B38" s="8"/>
      <c r="C38" s="13" t="str">
        <f t="shared" si="0"/>
        <v/>
      </c>
      <c r="D38" s="9"/>
      <c r="E38" s="10"/>
      <c r="F38" s="10"/>
      <c r="G38" s="5" t="str">
        <f t="shared" si="1"/>
        <v/>
      </c>
      <c r="H38" s="5" t="str">
        <f t="shared" si="2"/>
        <v/>
      </c>
      <c r="I38" s="10"/>
      <c r="J38" s="10"/>
      <c r="K38" s="10"/>
      <c r="L38" s="7"/>
      <c r="M38" s="7"/>
      <c r="N38" s="7"/>
      <c r="O38" s="7"/>
    </row>
    <row r="39" spans="1:15" ht="17.399999999999999" x14ac:dyDescent="0.3">
      <c r="A39" s="7"/>
      <c r="B39" s="8"/>
      <c r="C39" s="13" t="str">
        <f t="shared" si="0"/>
        <v/>
      </c>
      <c r="D39" s="9"/>
      <c r="E39" s="10"/>
      <c r="F39" s="10"/>
      <c r="G39" s="5" t="str">
        <f t="shared" si="1"/>
        <v/>
      </c>
      <c r="H39" s="5" t="str">
        <f t="shared" si="2"/>
        <v/>
      </c>
      <c r="I39" s="10"/>
      <c r="J39" s="10"/>
      <c r="K39" s="10"/>
      <c r="L39" s="7"/>
      <c r="M39" s="7"/>
      <c r="N39" s="7"/>
      <c r="O39" s="7"/>
    </row>
    <row r="40" spans="1:15" ht="17.399999999999999" x14ac:dyDescent="0.3">
      <c r="A40" s="7"/>
      <c r="B40" s="8"/>
      <c r="C40" s="13" t="str">
        <f t="shared" si="0"/>
        <v/>
      </c>
      <c r="D40" s="9"/>
      <c r="E40" s="10"/>
      <c r="F40" s="10"/>
      <c r="G40" s="5" t="str">
        <f t="shared" si="1"/>
        <v/>
      </c>
      <c r="H40" s="5" t="str">
        <f t="shared" si="2"/>
        <v/>
      </c>
      <c r="I40" s="10"/>
      <c r="J40" s="10"/>
      <c r="K40" s="10"/>
      <c r="L40" s="7"/>
      <c r="M40" s="7"/>
      <c r="N40" s="7"/>
      <c r="O40" s="7"/>
    </row>
  </sheetData>
  <sheetProtection algorithmName="SHA-512" hashValue="T3mDe/AbYuHEjiABs+hkfpQuuQdr9O5+1GlLUfgLlnuzdp7H6HScsQK7ydU8NbxKj/P9HwUjUnzRCBg01Ggrlg==" saltValue="1n1xCAnI9E+JW42DZJ1ESw==" spinCount="100000" sheet="1" objects="1" scenarios="1" selectLockedCells="1"/>
  <mergeCells count="4">
    <mergeCell ref="N1:O1"/>
    <mergeCell ref="L3:M3"/>
    <mergeCell ref="A2:B2"/>
    <mergeCell ref="C1:M1"/>
  </mergeCells>
  <phoneticPr fontId="7" type="noConversion"/>
  <conditionalFormatting sqref="G5:G40">
    <cfRule type="cellIs" dxfId="5" priority="6" operator="greaterThan">
      <formula>50</formula>
    </cfRule>
  </conditionalFormatting>
  <conditionalFormatting sqref="G5:G40">
    <cfRule type="cellIs" dxfId="4" priority="5" operator="lessThan">
      <formula>15</formula>
    </cfRule>
  </conditionalFormatting>
  <conditionalFormatting sqref="H5:H40">
    <cfRule type="cellIs" dxfId="3" priority="4" operator="greaterThan">
      <formula>50</formula>
    </cfRule>
  </conditionalFormatting>
  <conditionalFormatting sqref="H5:H40">
    <cfRule type="cellIs" dxfId="2" priority="3" operator="lessThan">
      <formula>15</formula>
    </cfRule>
  </conditionalFormatting>
  <conditionalFormatting sqref="C5:C40">
    <cfRule type="containsText" dxfId="1" priority="1" operator="containsText" text="O">
      <formula>NOT(ISERROR(SEARCH("O",C5)))</formula>
    </cfRule>
    <cfRule type="containsText" dxfId="0" priority="2" operator="containsText" text="P">
      <formula>NOT(ISERROR(SEARCH("P",C5)))</formula>
    </cfRule>
  </conditionalFormatting>
  <pageMargins left="0.23622047244094491" right="0.23622047244094491" top="0.74803149606299213" bottom="0.74803149606299213" header="0.31496062992125984" footer="0.31496062992125984"/>
  <pageSetup scale="6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PDF">
                <anchor moveWithCells="1">
                  <from>
                    <xdr:col>13</xdr:col>
                    <xdr:colOff>1905000</xdr:colOff>
                    <xdr:row>1</xdr:row>
                    <xdr:rowOff>99060</xdr:rowOff>
                  </from>
                  <to>
                    <xdr:col>14</xdr:col>
                    <xdr:colOff>685800</xdr:colOff>
                    <xdr:row>1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Control_Lote</vt:lpstr>
      <vt:lpstr>Control_Lote!Área_de_impresión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pesaje3</cp:lastModifiedBy>
  <cp:lastPrinted>2022-12-22T14:54:47Z</cp:lastPrinted>
  <dcterms:created xsi:type="dcterms:W3CDTF">2022-07-29T13:31:42Z</dcterms:created>
  <dcterms:modified xsi:type="dcterms:W3CDTF">2022-12-22T14:54:49Z</dcterms:modified>
</cp:coreProperties>
</file>